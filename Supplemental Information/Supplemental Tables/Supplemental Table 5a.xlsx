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5a" sheetId="5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<sst xmlns="http://schemas.openxmlformats.org/spreadsheetml/2006/main" count="144" uniqueCount="88">
  <si>
    <t>Supplemental Table 5a. Task level performance across the minor crop breeding tasks.</t>
  </si>
  <si>
    <t>Model Types</t>
  </si>
  <si>
    <t>Models</t>
  </si>
  <si>
    <t>GSD</t>
  </si>
  <si>
    <t>CLG</t>
  </si>
  <si>
    <t>CE</t>
  </si>
  <si>
    <t>TF</t>
  </si>
  <si>
    <t>FVRE</t>
  </si>
  <si>
    <t>FG</t>
  </si>
  <si>
    <t>SG</t>
  </si>
  <si>
    <t>GLV</t>
  </si>
  <si>
    <t>ABHGP</t>
  </si>
  <si>
    <t>GEPA</t>
  </si>
  <si>
    <t>Average</t>
  </si>
  <si>
    <t>gLLMs</t>
  </si>
  <si>
    <t>GPT-3.5-turbo</t>
  </si>
  <si>
    <t>GPT-4.1-mini</t>
  </si>
  <si>
    <t>GPT-5.2</t>
  </si>
  <si>
    <t>DeepSeek-V3-671B</t>
  </si>
  <si>
    <t>Gemini-2.5-flash-nothinking</t>
  </si>
  <si>
    <t>Grok-4</t>
  </si>
  <si>
    <t>rLLMs</t>
  </si>
  <si>
    <t>Deepseek-R1</t>
  </si>
  <si>
    <t>DeepSeek-V3.2-exp-thinking</t>
  </si>
  <si>
    <t>O3-mini</t>
  </si>
  <si>
    <t>GPT-5-thinking</t>
  </si>
  <si>
    <t>GPT-5.1-thinking</t>
  </si>
  <si>
    <t>gSLMs</t>
  </si>
  <si>
    <t>LLaMA3.1-8B</t>
  </si>
  <si>
    <t>LLaMA3.2-1B</t>
  </si>
  <si>
    <t>LLaMA3.2-3B</t>
  </si>
  <si>
    <t>DeepSeek-R1-1.5B</t>
  </si>
  <si>
    <t>DeepSeek-R1-7B</t>
  </si>
  <si>
    <t>DeepSeek-R1-8B</t>
  </si>
  <si>
    <t>Qwen2.5-0.5B</t>
  </si>
  <si>
    <t>Qwen2.5-1.5B</t>
  </si>
  <si>
    <t>Qwen2.5-3B</t>
  </si>
  <si>
    <t>Qwen2.5-7B</t>
  </si>
  <si>
    <t>Qwen3-0.6B</t>
  </si>
  <si>
    <t>Qwen3-1.7B</t>
  </si>
  <si>
    <t>Qwen3-4B</t>
  </si>
  <si>
    <t>Qwen3-8B</t>
  </si>
  <si>
    <t>gSLMs-DB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</si>
  <si>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Gene Structural Domains is abbreviated as GSD;
Chromosomal Localization of Genes is abbreviated as CLG;
Cis-regulatory Elements is abbreviated as CE;
Trans-acting Factors is abbreviated as TF;
Functional Validation of Regulatory Elements is abbreviated as FVRE;
Functional Genomics is abbreviated as FG;
System Genetics is abbreviated as SG;
Gain- and Loss-of-function Validationis is abbreviated as GLV;
Association Between Homologous Genes and Phenotypes is abbreviated as ABHGP;
Gene Effects and Phenotypic Associations is abbreviated as GEPA.
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</si>
  <si>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</si>
  <si>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</si>
  <si>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</si>
  <si>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</si>
  <si>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</si>
  <si>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</si>
  <si>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</si>
  <si>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</si>
  <si>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</si>
  <si>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</si>
  <si>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</si>
  <si>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</si>
  <si>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</si>
  <si>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</si>
  <si>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</si>
  <si>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</si>
  <si>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</si>
  <si>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Qwen3-235B-a22b</t>
  </si>
  <si>
    <t>GPT-oss-20B</t>
  </si>
  <si>
    <t>GPT-oss-120B</t>
  </si>
  <si>
    <t>GLM-4-0414-9B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</si>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</sst>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sz val="16"/>
      <name val="Arial"/>
      <charset val="134"/>
      <scheme val="minor"/>
    </font>
    <font>
      <sz val="16"/>
      <color theme="1"/>
      <name val="Arial"/>
      <charset val="134"/>
      <scheme val="minor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4" fillId="13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horizontal="center" vertical="center"/>
    </xf>
    <xf numFmtId="2" fontId="8" fillId="0" borderId="5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vertical="center"/>
    </xf>
    <xf numFmtId="0" fontId="8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2" fontId="8" fillId="0" borderId="6" xfId="0" applyNumberFormat="1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left" vertical="center" wrapText="1"/>
    </xf>
    <xf numFmtId="2" fontId="10" fillId="0" borderId="5" xfId="0" applyNumberFormat="1" applyFont="1" applyFill="1" applyBorder="1" applyAlignment="1">
      <alignment horizontal="center" vertical="center"/>
    </xf>
    <xf numFmtId="2" fontId="10" fillId="0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M42"/>
  <sheetViews>
    <sheetView tabSelected="1" workbookViewId="0">
      <selection activeCell="R11" sqref="R11"/>
    </sheetView>
  </sheetViews>
  <sheetFormatPr defaultColWidth="12.6339285714286" defaultRowHeight="15.75" customHeight="1"/>
  <cols>
    <col min="1" max="1" width="20.8392857142857" customWidth="1"/>
    <col min="2" max="2" width="38.3928571428571" customWidth="1"/>
    <col min="3" max="3" width="12.1964285714286" customWidth="1"/>
    <col min="4" max="4" width="11.9017857142857" customWidth="1"/>
    <col min="5" max="5" width="10.5625" customWidth="1"/>
    <col min="6" max="6" width="11.6071428571429" customWidth="1"/>
    <col min="7" max="7" width="13.3839285714286" customWidth="1"/>
    <col min="8" max="8" width="12.0535714285714" customWidth="1"/>
    <col min="9" max="9" width="11.1517857142857" customWidth="1"/>
    <col min="10" max="10" width="13.2410714285714" customWidth="1"/>
    <col min="11" max="11" width="15.1696428571429" customWidth="1"/>
    <col min="12" max="12" width="12.6428571428571" customWidth="1"/>
    <col min="13" max="13" width="14.7321428571429" customWidth="1"/>
  </cols>
  <sheetData>
    <row r="1" ht="38" customHeight="1" spans="1:1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ht="28" customHeight="1" spans="1:13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  <c r="H2" s="37" t="s">
        <v>8</v>
      </c>
      <c r="I2" s="37" t="s">
        <v>9</v>
      </c>
      <c r="J2" s="37" t="s">
        <v>10</v>
      </c>
      <c r="K2" s="37" t="s">
        <v>11</v>
      </c>
      <c r="L2" s="37" t="s">
        <v>12</v>
      </c>
      <c r="M2" s="37" t="s">
        <v>13</v>
      </c>
    </row>
    <row r="3" ht="28" customHeight="1" spans="1:13">
      <c r="A3" s="38" t="s">
        <v>14</v>
      </c>
      <c r="B3" s="38" t="s">
        <v>15</v>
      </c>
      <c r="C3" s="38">
        <v>62.77</v>
      </c>
      <c r="D3" s="39">
        <v>65.38</v>
      </c>
      <c r="E3" s="39">
        <v>44.9</v>
      </c>
      <c r="F3" s="38">
        <v>60.98</v>
      </c>
      <c r="G3" s="38">
        <v>90.91</v>
      </c>
      <c r="H3" s="39">
        <v>90.74</v>
      </c>
      <c r="I3" s="38">
        <v>92.45</v>
      </c>
      <c r="J3" s="39">
        <v>73.33</v>
      </c>
      <c r="K3" s="39">
        <v>52.83</v>
      </c>
      <c r="L3" s="39">
        <v>81.25</v>
      </c>
      <c r="M3" s="45">
        <f t="shared" ref="M3:M41" si="0">SUM(C3:L3)/10</f>
        <v>71.554</v>
      </c>
    </row>
    <row r="4" ht="28" customHeight="1" spans="1:13">
      <c r="A4" s="40"/>
      <c r="B4" s="38" t="s">
        <v>16</v>
      </c>
      <c r="C4" s="38">
        <v>71.28</v>
      </c>
      <c r="D4" s="39">
        <v>78.85</v>
      </c>
      <c r="E4" s="38">
        <v>57.14</v>
      </c>
      <c r="F4" s="38">
        <v>85.37</v>
      </c>
      <c r="G4" s="38">
        <v>88.64</v>
      </c>
      <c r="H4" s="39">
        <v>94.44</v>
      </c>
      <c r="I4" s="39">
        <v>96.23</v>
      </c>
      <c r="J4" s="39">
        <v>86.67</v>
      </c>
      <c r="K4" s="39">
        <v>83.02</v>
      </c>
      <c r="L4" s="39">
        <v>97.92</v>
      </c>
      <c r="M4" s="45">
        <f t="shared" si="0"/>
        <v>83.956</v>
      </c>
    </row>
    <row r="5" ht="28" customHeight="1" spans="1:13">
      <c r="A5" s="40"/>
      <c r="B5" s="38" t="s">
        <v>17</v>
      </c>
      <c r="C5" s="39">
        <v>73.4</v>
      </c>
      <c r="D5" s="39">
        <v>55.77</v>
      </c>
      <c r="E5" s="39">
        <v>38.78</v>
      </c>
      <c r="F5" s="39">
        <v>56.1</v>
      </c>
      <c r="G5" s="38">
        <v>47.73</v>
      </c>
      <c r="H5" s="38">
        <v>79.63</v>
      </c>
      <c r="I5" s="39">
        <v>83.02</v>
      </c>
      <c r="J5" s="39">
        <v>84.44</v>
      </c>
      <c r="K5" s="39">
        <v>69.81</v>
      </c>
      <c r="L5" s="39">
        <v>89.58</v>
      </c>
      <c r="M5" s="45">
        <f t="shared" si="0"/>
        <v>67.826</v>
      </c>
    </row>
    <row r="6" ht="28" customHeight="1" spans="1:13">
      <c r="A6" s="40"/>
      <c r="B6" s="38" t="s">
        <v>18</v>
      </c>
      <c r="C6" s="39">
        <v>74.47</v>
      </c>
      <c r="D6" s="39">
        <v>90.38</v>
      </c>
      <c r="E6" s="39">
        <v>55.1</v>
      </c>
      <c r="F6" s="38">
        <v>75.61</v>
      </c>
      <c r="G6" s="38">
        <v>93.18</v>
      </c>
      <c r="H6" s="38">
        <v>92.59</v>
      </c>
      <c r="I6" s="39">
        <v>98.11</v>
      </c>
      <c r="J6" s="39">
        <v>91.11</v>
      </c>
      <c r="K6" s="39">
        <v>67.92</v>
      </c>
      <c r="L6" s="39">
        <v>95.83</v>
      </c>
      <c r="M6" s="45">
        <f t="shared" si="0"/>
        <v>83.43</v>
      </c>
    </row>
    <row r="7" ht="28" customHeight="1" spans="1:13">
      <c r="A7" s="40"/>
      <c r="B7" s="38" t="s">
        <v>19</v>
      </c>
      <c r="C7" s="39">
        <v>75.53</v>
      </c>
      <c r="D7" s="39">
        <v>90.38</v>
      </c>
      <c r="E7" s="39">
        <v>44.9</v>
      </c>
      <c r="F7" s="39">
        <v>87.8</v>
      </c>
      <c r="G7" s="38">
        <v>93.18</v>
      </c>
      <c r="H7" s="38">
        <v>87.04</v>
      </c>
      <c r="I7" s="38">
        <v>96.23</v>
      </c>
      <c r="J7" s="39">
        <v>84.44</v>
      </c>
      <c r="K7" s="39">
        <v>75.47</v>
      </c>
      <c r="L7" s="39">
        <v>93.75</v>
      </c>
      <c r="M7" s="45">
        <f t="shared" si="0"/>
        <v>82.872</v>
      </c>
    </row>
    <row r="8" ht="28" customHeight="1" spans="1:13">
      <c r="A8" s="41"/>
      <c r="B8" s="42" t="s">
        <v>20</v>
      </c>
      <c r="C8" s="43">
        <v>86.17</v>
      </c>
      <c r="D8" s="43">
        <v>90.38</v>
      </c>
      <c r="E8" s="43">
        <v>61.22</v>
      </c>
      <c r="F8" s="42">
        <v>92.68</v>
      </c>
      <c r="G8" s="42">
        <v>88.64</v>
      </c>
      <c r="H8" s="43">
        <v>96.3</v>
      </c>
      <c r="I8" s="43">
        <v>96.23</v>
      </c>
      <c r="J8" s="43">
        <v>93.33</v>
      </c>
      <c r="K8" s="43">
        <v>90.57</v>
      </c>
      <c r="L8" s="43">
        <v>93.75</v>
      </c>
      <c r="M8" s="52">
        <f t="shared" si="0"/>
        <v>88.927</v>
      </c>
    </row>
    <row r="9" ht="28" customHeight="1" spans="1:13">
      <c r="A9" s="38" t="s">
        <v>21</v>
      </c>
      <c r="B9" s="38" t="s">
        <v>22</v>
      </c>
      <c r="C9" s="38">
        <v>63.83</v>
      </c>
      <c r="D9" s="39">
        <v>84.62</v>
      </c>
      <c r="E9" s="39">
        <v>46.94</v>
      </c>
      <c r="F9" s="38">
        <v>75.61</v>
      </c>
      <c r="G9" s="39">
        <v>90.91</v>
      </c>
      <c r="H9" s="38">
        <v>74.07</v>
      </c>
      <c r="I9" s="38">
        <v>81.13</v>
      </c>
      <c r="J9" s="38">
        <v>84.44</v>
      </c>
      <c r="K9" s="39">
        <v>64.15</v>
      </c>
      <c r="L9" s="39">
        <v>77.08</v>
      </c>
      <c r="M9" s="45">
        <f t="shared" si="0"/>
        <v>74.278</v>
      </c>
    </row>
    <row r="10" ht="28" customHeight="1" spans="1:13">
      <c r="A10" s="40"/>
      <c r="B10" s="38" t="s">
        <v>23</v>
      </c>
      <c r="C10" s="39">
        <v>82.98</v>
      </c>
      <c r="D10" s="39">
        <v>94.23</v>
      </c>
      <c r="E10" s="39">
        <v>53.06</v>
      </c>
      <c r="F10" s="39">
        <v>70.73</v>
      </c>
      <c r="G10" s="39">
        <v>95.45</v>
      </c>
      <c r="H10" s="38">
        <v>87.04</v>
      </c>
      <c r="I10" s="38">
        <v>98.11</v>
      </c>
      <c r="J10" s="38">
        <v>86.67</v>
      </c>
      <c r="K10" s="39">
        <v>79.25</v>
      </c>
      <c r="L10" s="39">
        <v>91.67</v>
      </c>
      <c r="M10" s="45">
        <f t="shared" si="0"/>
        <v>83.919</v>
      </c>
    </row>
    <row r="11" ht="28" customHeight="1" spans="1:13">
      <c r="A11" s="40"/>
      <c r="B11" s="38" t="s">
        <v>24</v>
      </c>
      <c r="C11" s="39">
        <v>68.9</v>
      </c>
      <c r="D11" s="39">
        <v>88.46</v>
      </c>
      <c r="E11" s="39">
        <v>53.06</v>
      </c>
      <c r="F11" s="39">
        <v>87.8</v>
      </c>
      <c r="G11" s="39">
        <v>88.64</v>
      </c>
      <c r="H11" s="38">
        <v>90.74</v>
      </c>
      <c r="I11" s="38">
        <v>98.11</v>
      </c>
      <c r="J11" s="38">
        <v>93.33</v>
      </c>
      <c r="K11" s="39">
        <v>84.91</v>
      </c>
      <c r="L11" s="39">
        <v>91.67</v>
      </c>
      <c r="M11" s="45">
        <f t="shared" si="0"/>
        <v>84.562</v>
      </c>
    </row>
    <row r="12" ht="28" customHeight="1" spans="1:13">
      <c r="A12" s="40"/>
      <c r="B12" s="38" t="s">
        <v>25</v>
      </c>
      <c r="C12" s="38">
        <v>65.96</v>
      </c>
      <c r="D12" s="39">
        <v>78.85</v>
      </c>
      <c r="E12" s="39">
        <v>57.14</v>
      </c>
      <c r="F12" s="38">
        <v>80.49</v>
      </c>
      <c r="G12" s="39">
        <v>84.09</v>
      </c>
      <c r="H12" s="38">
        <v>79.63</v>
      </c>
      <c r="I12" s="38">
        <v>88.68</v>
      </c>
      <c r="J12" s="38">
        <v>73.33</v>
      </c>
      <c r="K12" s="39">
        <v>75.47</v>
      </c>
      <c r="L12" s="39">
        <v>81.25</v>
      </c>
      <c r="M12" s="45">
        <f t="shared" si="0"/>
        <v>76.489</v>
      </c>
    </row>
    <row r="13" ht="28" customHeight="1" spans="1:13">
      <c r="A13" s="41"/>
      <c r="B13" s="42" t="s">
        <v>26</v>
      </c>
      <c r="C13" s="42">
        <v>63.83</v>
      </c>
      <c r="D13" s="43">
        <v>50</v>
      </c>
      <c r="E13" s="43">
        <v>48.98</v>
      </c>
      <c r="F13" s="42">
        <v>58.54</v>
      </c>
      <c r="G13" s="43">
        <v>65.91</v>
      </c>
      <c r="H13" s="42">
        <v>61.11</v>
      </c>
      <c r="I13" s="42">
        <v>77.36</v>
      </c>
      <c r="J13" s="42">
        <v>62.22</v>
      </c>
      <c r="K13" s="43">
        <v>49.06</v>
      </c>
      <c r="L13" s="43">
        <v>64.58</v>
      </c>
      <c r="M13" s="52">
        <f t="shared" si="0"/>
        <v>60.159</v>
      </c>
    </row>
    <row r="14" ht="28" customHeight="1" spans="1:13">
      <c r="A14" s="38" t="s">
        <v>27</v>
      </c>
      <c r="B14" s="38" t="s">
        <v>28</v>
      </c>
      <c r="C14" s="38">
        <v>58.51</v>
      </c>
      <c r="D14" s="39">
        <v>21.15</v>
      </c>
      <c r="E14" s="39">
        <v>22.45</v>
      </c>
      <c r="F14" s="38">
        <v>58.54</v>
      </c>
      <c r="G14" s="39">
        <v>86.36</v>
      </c>
      <c r="H14" s="38">
        <v>72.22</v>
      </c>
      <c r="I14" s="38">
        <v>92.45</v>
      </c>
      <c r="J14" s="38">
        <v>75.56</v>
      </c>
      <c r="K14" s="39">
        <v>64.15</v>
      </c>
      <c r="L14" s="39">
        <v>70.83</v>
      </c>
      <c r="M14" s="45">
        <f t="shared" si="0"/>
        <v>62.222</v>
      </c>
    </row>
    <row r="15" ht="28" customHeight="1" spans="1:13">
      <c r="A15" s="40"/>
      <c r="B15" s="38" t="s">
        <v>29</v>
      </c>
      <c r="C15" s="38">
        <v>43.62</v>
      </c>
      <c r="D15" s="39">
        <v>30.77</v>
      </c>
      <c r="E15" s="38">
        <v>24.49</v>
      </c>
      <c r="F15" s="38">
        <v>19.51</v>
      </c>
      <c r="G15" s="39">
        <v>18.18</v>
      </c>
      <c r="H15" s="38">
        <v>55.56</v>
      </c>
      <c r="I15" s="38">
        <v>45.28</v>
      </c>
      <c r="J15" s="38">
        <v>42.22</v>
      </c>
      <c r="K15" s="39">
        <v>33.96</v>
      </c>
      <c r="L15" s="39">
        <v>43.75</v>
      </c>
      <c r="M15" s="45">
        <f t="shared" si="0"/>
        <v>35.734</v>
      </c>
    </row>
    <row r="16" ht="28" customHeight="1" spans="1:13">
      <c r="A16" s="40"/>
      <c r="B16" s="38" t="s">
        <v>30</v>
      </c>
      <c r="C16" s="38">
        <v>51.06</v>
      </c>
      <c r="D16" s="39">
        <v>23.08</v>
      </c>
      <c r="E16" s="38">
        <v>14.29</v>
      </c>
      <c r="F16" s="38">
        <v>26.83</v>
      </c>
      <c r="G16" s="39">
        <v>86.36</v>
      </c>
      <c r="H16" s="38">
        <v>74.07</v>
      </c>
      <c r="I16" s="38">
        <v>86.79</v>
      </c>
      <c r="J16" s="38">
        <v>64.44</v>
      </c>
      <c r="K16" s="39">
        <v>37.74</v>
      </c>
      <c r="L16" s="39">
        <v>54.17</v>
      </c>
      <c r="M16" s="45">
        <f t="shared" si="0"/>
        <v>51.883</v>
      </c>
    </row>
    <row r="17" ht="28" customHeight="1" spans="1:13">
      <c r="A17" s="40"/>
      <c r="B17" s="38" t="s">
        <v>31</v>
      </c>
      <c r="C17" s="39">
        <v>34.04</v>
      </c>
      <c r="D17" s="39">
        <v>17.31</v>
      </c>
      <c r="E17" s="38">
        <v>20.41</v>
      </c>
      <c r="F17" s="39">
        <v>43.9</v>
      </c>
      <c r="G17" s="39">
        <v>56.82</v>
      </c>
      <c r="H17" s="38">
        <v>35.19</v>
      </c>
      <c r="I17" s="38">
        <v>64.15</v>
      </c>
      <c r="J17" s="38">
        <v>15.56</v>
      </c>
      <c r="K17" s="39">
        <v>43.4</v>
      </c>
      <c r="L17" s="39">
        <v>33.33</v>
      </c>
      <c r="M17" s="45">
        <f t="shared" si="0"/>
        <v>36.411</v>
      </c>
    </row>
    <row r="18" ht="28" customHeight="1" spans="1:13">
      <c r="A18" s="40"/>
      <c r="B18" s="38" t="s">
        <v>32</v>
      </c>
      <c r="C18" s="39">
        <v>61.7</v>
      </c>
      <c r="D18" s="39">
        <v>53.85</v>
      </c>
      <c r="E18" s="38">
        <v>40.82</v>
      </c>
      <c r="F18" s="38">
        <v>31.71</v>
      </c>
      <c r="G18" s="39">
        <v>90.91</v>
      </c>
      <c r="H18" s="38">
        <v>64.81</v>
      </c>
      <c r="I18" s="38">
        <v>77.36</v>
      </c>
      <c r="J18" s="38">
        <v>73.33</v>
      </c>
      <c r="K18" s="39">
        <v>64.15</v>
      </c>
      <c r="L18" s="39">
        <v>81.25</v>
      </c>
      <c r="M18" s="45">
        <f t="shared" si="0"/>
        <v>63.989</v>
      </c>
    </row>
    <row r="19" ht="28" customHeight="1" spans="1:13">
      <c r="A19" s="40"/>
      <c r="B19" s="38" t="s">
        <v>33</v>
      </c>
      <c r="C19" s="38">
        <v>37.23</v>
      </c>
      <c r="D19" s="39">
        <v>23.08</v>
      </c>
      <c r="E19" s="38">
        <v>38.78</v>
      </c>
      <c r="F19" s="38">
        <v>29.27</v>
      </c>
      <c r="G19" s="39">
        <v>65.91</v>
      </c>
      <c r="H19" s="38">
        <v>57.41</v>
      </c>
      <c r="I19" s="38">
        <v>84.91</v>
      </c>
      <c r="J19" s="38">
        <v>55.56</v>
      </c>
      <c r="K19" s="39">
        <v>39.62</v>
      </c>
      <c r="L19" s="39">
        <v>56.25</v>
      </c>
      <c r="M19" s="45">
        <f t="shared" si="0"/>
        <v>48.802</v>
      </c>
    </row>
    <row r="20" ht="28" customHeight="1" spans="1:13">
      <c r="A20" s="40"/>
      <c r="B20" s="38" t="s">
        <v>34</v>
      </c>
      <c r="C20" s="38">
        <v>34.04</v>
      </c>
      <c r="D20" s="39">
        <v>28.85</v>
      </c>
      <c r="E20" s="38">
        <v>26.53</v>
      </c>
      <c r="F20" s="38">
        <v>34.15</v>
      </c>
      <c r="G20" s="39">
        <v>56.82</v>
      </c>
      <c r="H20" s="38">
        <v>57.41</v>
      </c>
      <c r="I20" s="38">
        <v>67.92</v>
      </c>
      <c r="J20" s="39">
        <v>53.33</v>
      </c>
      <c r="K20" s="39">
        <v>35.85</v>
      </c>
      <c r="L20" s="39">
        <v>35.42</v>
      </c>
      <c r="M20" s="45">
        <f t="shared" si="0"/>
        <v>43.032</v>
      </c>
    </row>
    <row r="21" ht="28" customHeight="1" spans="1:13">
      <c r="A21" s="40"/>
      <c r="B21" s="38" t="s">
        <v>35</v>
      </c>
      <c r="C21" s="38">
        <v>53.19</v>
      </c>
      <c r="D21" s="39">
        <v>32.69</v>
      </c>
      <c r="E21" s="38">
        <v>53.06</v>
      </c>
      <c r="F21" s="39">
        <v>43.9</v>
      </c>
      <c r="G21" s="39">
        <v>86.36</v>
      </c>
      <c r="H21" s="38">
        <v>55.56</v>
      </c>
      <c r="I21" s="38">
        <v>75.47</v>
      </c>
      <c r="J21" s="38">
        <v>73.33</v>
      </c>
      <c r="K21" s="39">
        <v>50.94</v>
      </c>
      <c r="L21" s="39">
        <v>45.83</v>
      </c>
      <c r="M21" s="45">
        <f t="shared" si="0"/>
        <v>57.033</v>
      </c>
    </row>
    <row r="22" ht="28" customHeight="1" spans="1:13">
      <c r="A22" s="40"/>
      <c r="B22" s="38" t="s">
        <v>36</v>
      </c>
      <c r="C22" s="44">
        <v>54.26</v>
      </c>
      <c r="D22" s="39">
        <v>30.77</v>
      </c>
      <c r="E22" s="38">
        <v>53.06</v>
      </c>
      <c r="F22" s="38">
        <v>53.66</v>
      </c>
      <c r="G22" s="39">
        <v>97.73</v>
      </c>
      <c r="H22" s="38">
        <v>62.96</v>
      </c>
      <c r="I22" s="39">
        <v>79.25</v>
      </c>
      <c r="J22" s="38">
        <v>75.56</v>
      </c>
      <c r="K22" s="39">
        <v>67.92</v>
      </c>
      <c r="L22" s="39">
        <v>62.5</v>
      </c>
      <c r="M22" s="45">
        <f t="shared" si="0"/>
        <v>63.767</v>
      </c>
    </row>
    <row r="23" ht="28" customHeight="1" spans="1:13">
      <c r="A23" s="40"/>
      <c r="B23" s="38" t="s">
        <v>37</v>
      </c>
      <c r="C23" s="44">
        <v>60.64</v>
      </c>
      <c r="D23" s="39">
        <v>48.08</v>
      </c>
      <c r="E23" s="38">
        <v>40.82</v>
      </c>
      <c r="F23" s="38">
        <v>31.71</v>
      </c>
      <c r="G23" s="39">
        <v>90.91</v>
      </c>
      <c r="H23" s="38">
        <v>66.67</v>
      </c>
      <c r="I23" s="38">
        <v>77.36</v>
      </c>
      <c r="J23" s="38">
        <v>73.33</v>
      </c>
      <c r="K23" s="39">
        <v>64.15</v>
      </c>
      <c r="L23" s="39">
        <v>81.25</v>
      </c>
      <c r="M23" s="45">
        <f t="shared" si="0"/>
        <v>63.492</v>
      </c>
    </row>
    <row r="24" ht="28" customHeight="1" spans="1:13">
      <c r="A24" s="40"/>
      <c r="B24" s="38" t="s">
        <v>38</v>
      </c>
      <c r="C24" s="45">
        <v>46.81</v>
      </c>
      <c r="D24" s="39">
        <v>21.15</v>
      </c>
      <c r="E24" s="38">
        <v>32.65</v>
      </c>
      <c r="F24" s="38">
        <v>14.63</v>
      </c>
      <c r="G24" s="39">
        <v>65.91</v>
      </c>
      <c r="H24" s="38">
        <v>64.81</v>
      </c>
      <c r="I24" s="39">
        <v>52.83</v>
      </c>
      <c r="J24" s="38">
        <v>57.78</v>
      </c>
      <c r="K24" s="39">
        <v>33.96</v>
      </c>
      <c r="L24" s="39">
        <v>47.92</v>
      </c>
      <c r="M24" s="45">
        <f t="shared" si="0"/>
        <v>43.845</v>
      </c>
    </row>
    <row r="25" ht="28" customHeight="1" spans="1:13">
      <c r="A25" s="40"/>
      <c r="B25" s="38" t="s">
        <v>39</v>
      </c>
      <c r="C25" s="45">
        <v>43.62</v>
      </c>
      <c r="D25" s="39">
        <v>36.54</v>
      </c>
      <c r="E25" s="38">
        <v>40.82</v>
      </c>
      <c r="F25" s="39">
        <v>43.9</v>
      </c>
      <c r="G25" s="39">
        <v>77.27</v>
      </c>
      <c r="H25" s="38">
        <v>62.96</v>
      </c>
      <c r="I25" s="38">
        <v>64.15</v>
      </c>
      <c r="J25" s="38">
        <v>73.33</v>
      </c>
      <c r="K25" s="39">
        <v>60.38</v>
      </c>
      <c r="L25" s="39">
        <v>54.17</v>
      </c>
      <c r="M25" s="45">
        <f t="shared" si="0"/>
        <v>55.714</v>
      </c>
    </row>
    <row r="26" ht="28" customHeight="1" spans="1:13">
      <c r="A26" s="40"/>
      <c r="B26" s="38" t="s">
        <v>40</v>
      </c>
      <c r="C26" s="45">
        <v>54.26</v>
      </c>
      <c r="D26" s="39">
        <v>32.69</v>
      </c>
      <c r="E26" s="38">
        <v>38.78</v>
      </c>
      <c r="F26" s="38">
        <v>58.54</v>
      </c>
      <c r="G26" s="39">
        <v>90.91</v>
      </c>
      <c r="H26" s="38">
        <v>59.26</v>
      </c>
      <c r="I26" s="38">
        <v>92.45</v>
      </c>
      <c r="J26" s="39">
        <v>80</v>
      </c>
      <c r="K26" s="39">
        <v>56.6</v>
      </c>
      <c r="L26" s="39">
        <v>70.83</v>
      </c>
      <c r="M26" s="45">
        <f t="shared" si="0"/>
        <v>63.432</v>
      </c>
    </row>
    <row r="27" ht="28" customHeight="1" spans="1:13">
      <c r="A27" s="41"/>
      <c r="B27" s="42" t="s">
        <v>41</v>
      </c>
      <c r="C27" s="46">
        <v>62.77</v>
      </c>
      <c r="D27" s="43">
        <v>36.54</v>
      </c>
      <c r="E27" s="42">
        <v>28.57</v>
      </c>
      <c r="F27" s="42">
        <v>34.15</v>
      </c>
      <c r="G27" s="43">
        <v>86.36</v>
      </c>
      <c r="H27" s="42">
        <v>74.07</v>
      </c>
      <c r="I27" s="42">
        <v>94.34</v>
      </c>
      <c r="J27" s="42">
        <v>77.78</v>
      </c>
      <c r="K27" s="43">
        <v>54.72</v>
      </c>
      <c r="L27" s="43">
        <v>75</v>
      </c>
      <c r="M27" s="52">
        <f t="shared" si="0"/>
        <v>62.43</v>
      </c>
    </row>
    <row r="28" ht="28" customHeight="1" spans="1:13">
      <c r="A28" s="38" t="s">
        <v>42</v>
      </c>
      <c r="B28" s="38" t="s">
        <v>28</v>
      </c>
      <c r="C28" s="38">
        <v>60.64</v>
      </c>
      <c r="D28" s="39">
        <v>92.31</v>
      </c>
      <c r="E28" s="38">
        <v>57.14</v>
      </c>
      <c r="F28" s="39">
        <v>87.8</v>
      </c>
      <c r="G28" s="39">
        <v>97.73</v>
      </c>
      <c r="H28" s="38">
        <v>98.15</v>
      </c>
      <c r="I28" s="39">
        <v>100</v>
      </c>
      <c r="J28" s="38">
        <v>84.44</v>
      </c>
      <c r="K28" s="39">
        <v>81.13</v>
      </c>
      <c r="L28" s="39">
        <v>87.5</v>
      </c>
      <c r="M28" s="45">
        <f t="shared" si="0"/>
        <v>84.684</v>
      </c>
    </row>
    <row r="29" ht="28" customHeight="1" spans="1:13">
      <c r="A29" s="40"/>
      <c r="B29" s="38" t="s">
        <v>29</v>
      </c>
      <c r="C29" s="38">
        <v>48.94</v>
      </c>
      <c r="D29" s="39">
        <v>92.31</v>
      </c>
      <c r="E29" s="38">
        <v>28.57</v>
      </c>
      <c r="F29" s="38">
        <v>73.17</v>
      </c>
      <c r="G29" s="39">
        <v>90.91</v>
      </c>
      <c r="H29" s="38">
        <v>88.89</v>
      </c>
      <c r="I29" s="38">
        <v>94.34</v>
      </c>
      <c r="J29" s="38">
        <v>88.89</v>
      </c>
      <c r="K29" s="39">
        <v>81.13</v>
      </c>
      <c r="L29" s="39">
        <v>79.17</v>
      </c>
      <c r="M29" s="45">
        <f t="shared" si="0"/>
        <v>76.632</v>
      </c>
    </row>
    <row r="30" ht="28" customHeight="1" spans="1:13">
      <c r="A30" s="40"/>
      <c r="B30" s="38" t="s">
        <v>30</v>
      </c>
      <c r="C30" s="39">
        <v>53.19</v>
      </c>
      <c r="D30" s="39">
        <v>92.31</v>
      </c>
      <c r="E30" s="38">
        <v>48.98</v>
      </c>
      <c r="F30" s="39">
        <v>90.24</v>
      </c>
      <c r="G30" s="39">
        <v>93.18</v>
      </c>
      <c r="H30" s="38">
        <v>98.15</v>
      </c>
      <c r="I30" s="38">
        <v>98.11</v>
      </c>
      <c r="J30" s="38">
        <v>82.22</v>
      </c>
      <c r="K30" s="39">
        <v>83.02</v>
      </c>
      <c r="L30" s="39">
        <v>70.83</v>
      </c>
      <c r="M30" s="45">
        <f t="shared" si="0"/>
        <v>81.023</v>
      </c>
    </row>
    <row r="31" ht="28" customHeight="1" spans="1:13">
      <c r="A31" s="40"/>
      <c r="B31" s="38" t="s">
        <v>31</v>
      </c>
      <c r="C31" s="38">
        <v>41.49</v>
      </c>
      <c r="D31" s="39">
        <v>65.38</v>
      </c>
      <c r="E31" s="38">
        <v>46.94</v>
      </c>
      <c r="F31" s="38">
        <v>63.41</v>
      </c>
      <c r="G31" s="39">
        <v>95.45</v>
      </c>
      <c r="H31" s="38">
        <v>81.48</v>
      </c>
      <c r="I31" s="38">
        <v>84.91</v>
      </c>
      <c r="J31" s="38">
        <v>84.44</v>
      </c>
      <c r="K31" s="39">
        <v>67.92</v>
      </c>
      <c r="L31" s="39">
        <v>72.92</v>
      </c>
      <c r="M31" s="45">
        <f t="shared" si="0"/>
        <v>70.434</v>
      </c>
    </row>
    <row r="32" ht="28" customHeight="1" spans="1:13">
      <c r="A32" s="40"/>
      <c r="B32" s="38" t="s">
        <v>32</v>
      </c>
      <c r="C32" s="38">
        <v>43.62</v>
      </c>
      <c r="D32" s="39">
        <v>84.62</v>
      </c>
      <c r="E32" s="39">
        <v>55.1</v>
      </c>
      <c r="F32" s="39">
        <v>87.8</v>
      </c>
      <c r="G32" s="39">
        <v>93.18</v>
      </c>
      <c r="H32" s="38">
        <v>83.33</v>
      </c>
      <c r="I32" s="38">
        <v>92.45</v>
      </c>
      <c r="J32" s="38">
        <v>84.44</v>
      </c>
      <c r="K32" s="39">
        <v>66.04</v>
      </c>
      <c r="L32" s="39">
        <v>66.67</v>
      </c>
      <c r="M32" s="45">
        <f t="shared" si="0"/>
        <v>75.725</v>
      </c>
    </row>
    <row r="33" ht="28" customHeight="1" spans="1:13">
      <c r="A33" s="40"/>
      <c r="B33" s="38" t="s">
        <v>33</v>
      </c>
      <c r="C33" s="38">
        <v>58.51</v>
      </c>
      <c r="D33" s="39">
        <v>92.31</v>
      </c>
      <c r="E33" s="38">
        <v>63.27</v>
      </c>
      <c r="F33" s="38">
        <v>92.68</v>
      </c>
      <c r="G33" s="39">
        <v>93.18</v>
      </c>
      <c r="H33" s="38">
        <v>92.59</v>
      </c>
      <c r="I33" s="38">
        <v>88.68</v>
      </c>
      <c r="J33" s="39">
        <v>77.78</v>
      </c>
      <c r="K33" s="39">
        <v>83.02</v>
      </c>
      <c r="L33" s="39">
        <v>83.33</v>
      </c>
      <c r="M33" s="45">
        <f t="shared" si="0"/>
        <v>82.535</v>
      </c>
    </row>
    <row r="34" ht="28" customHeight="1" spans="1:13">
      <c r="A34" s="40"/>
      <c r="B34" s="38" t="s">
        <v>34</v>
      </c>
      <c r="C34" s="38">
        <v>42.55</v>
      </c>
      <c r="D34" s="39">
        <v>86.54</v>
      </c>
      <c r="E34" s="38">
        <v>38.78</v>
      </c>
      <c r="F34" s="39">
        <v>78.05</v>
      </c>
      <c r="G34" s="39">
        <v>90.91</v>
      </c>
      <c r="H34" s="38">
        <v>98.15</v>
      </c>
      <c r="I34" s="38">
        <v>94.34</v>
      </c>
      <c r="J34" s="38">
        <v>93.33</v>
      </c>
      <c r="K34" s="39">
        <v>88.68</v>
      </c>
      <c r="L34" s="39">
        <v>72.92</v>
      </c>
      <c r="M34" s="45">
        <f t="shared" si="0"/>
        <v>78.425</v>
      </c>
    </row>
    <row r="35" ht="28" customHeight="1" spans="1:13">
      <c r="A35" s="40"/>
      <c r="B35" s="38" t="s">
        <v>35</v>
      </c>
      <c r="C35" s="44">
        <v>53.19</v>
      </c>
      <c r="D35" s="39">
        <v>92.31</v>
      </c>
      <c r="E35" s="38">
        <v>63.27</v>
      </c>
      <c r="F35" s="38">
        <v>85.37</v>
      </c>
      <c r="G35" s="39">
        <v>97.73</v>
      </c>
      <c r="H35" s="38">
        <v>90.74</v>
      </c>
      <c r="I35" s="39">
        <v>94.34</v>
      </c>
      <c r="J35" s="38">
        <v>88.89</v>
      </c>
      <c r="K35" s="39">
        <v>92.45</v>
      </c>
      <c r="L35" s="39">
        <v>87.5</v>
      </c>
      <c r="M35" s="45">
        <f t="shared" si="0"/>
        <v>84.579</v>
      </c>
    </row>
    <row r="36" ht="28" customHeight="1" spans="1:13">
      <c r="A36" s="40"/>
      <c r="B36" s="38" t="s">
        <v>36</v>
      </c>
      <c r="C36" s="44">
        <v>53.19</v>
      </c>
      <c r="D36" s="39">
        <v>92.31</v>
      </c>
      <c r="E36" s="38">
        <v>69.39</v>
      </c>
      <c r="F36" s="38">
        <v>90.24</v>
      </c>
      <c r="G36" s="39">
        <v>97.73</v>
      </c>
      <c r="H36" s="38">
        <v>92.59</v>
      </c>
      <c r="I36" s="38">
        <v>96.23</v>
      </c>
      <c r="J36" s="38">
        <v>73.33</v>
      </c>
      <c r="K36" s="39">
        <v>73.58</v>
      </c>
      <c r="L36" s="39">
        <v>85.42</v>
      </c>
      <c r="M36" s="45">
        <f t="shared" si="0"/>
        <v>82.401</v>
      </c>
    </row>
    <row r="37" ht="28" customHeight="1" spans="1:13">
      <c r="A37" s="40"/>
      <c r="B37" s="38" t="s">
        <v>37</v>
      </c>
      <c r="C37" s="44">
        <v>65.96</v>
      </c>
      <c r="D37" s="39">
        <v>92.31</v>
      </c>
      <c r="E37" s="38">
        <v>61.22</v>
      </c>
      <c r="F37" s="38">
        <v>92.68</v>
      </c>
      <c r="G37" s="39">
        <v>88.64</v>
      </c>
      <c r="H37" s="38">
        <v>94.44</v>
      </c>
      <c r="I37" s="38">
        <v>98.11</v>
      </c>
      <c r="J37" s="38">
        <v>84.44</v>
      </c>
      <c r="K37" s="39">
        <v>71.7</v>
      </c>
      <c r="L37" s="39">
        <v>85.42</v>
      </c>
      <c r="M37" s="45">
        <f t="shared" si="0"/>
        <v>83.492</v>
      </c>
    </row>
    <row r="38" ht="28" customHeight="1" spans="1:13">
      <c r="A38" s="40"/>
      <c r="B38" s="38" t="s">
        <v>38</v>
      </c>
      <c r="C38" s="45">
        <v>51.06</v>
      </c>
      <c r="D38" s="39">
        <v>67.31</v>
      </c>
      <c r="E38" s="38">
        <v>48.98</v>
      </c>
      <c r="F38" s="39">
        <v>53.66</v>
      </c>
      <c r="G38" s="39">
        <v>77.27</v>
      </c>
      <c r="H38" s="38">
        <v>72.22</v>
      </c>
      <c r="I38" s="38">
        <v>81.13</v>
      </c>
      <c r="J38" s="38">
        <v>75.56</v>
      </c>
      <c r="K38" s="39">
        <v>45.28</v>
      </c>
      <c r="L38" s="39">
        <v>56.25</v>
      </c>
      <c r="M38" s="45">
        <f t="shared" si="0"/>
        <v>62.872</v>
      </c>
    </row>
    <row r="39" ht="28" customHeight="1" spans="1:13">
      <c r="A39" s="40"/>
      <c r="B39" s="38" t="s">
        <v>39</v>
      </c>
      <c r="C39" s="45">
        <v>61.7</v>
      </c>
      <c r="D39" s="39">
        <v>88.46</v>
      </c>
      <c r="E39" s="38">
        <v>51.02</v>
      </c>
      <c r="F39" s="38">
        <v>90.24</v>
      </c>
      <c r="G39" s="39">
        <v>95.45</v>
      </c>
      <c r="H39" s="38">
        <v>85.19</v>
      </c>
      <c r="I39" s="38">
        <v>90.57</v>
      </c>
      <c r="J39" s="39">
        <v>86.67</v>
      </c>
      <c r="K39" s="39">
        <v>73.58</v>
      </c>
      <c r="L39" s="39">
        <v>75</v>
      </c>
      <c r="M39" s="45">
        <f t="shared" si="0"/>
        <v>79.788</v>
      </c>
    </row>
    <row r="40" ht="28" customHeight="1" spans="1:13">
      <c r="A40" s="40"/>
      <c r="B40" s="38" t="s">
        <v>40</v>
      </c>
      <c r="C40" s="44">
        <v>62.77</v>
      </c>
      <c r="D40" s="39">
        <v>90.38</v>
      </c>
      <c r="E40" s="38">
        <v>67.35</v>
      </c>
      <c r="F40" s="39">
        <v>87.8</v>
      </c>
      <c r="G40" s="39">
        <v>97.73</v>
      </c>
      <c r="H40" s="38">
        <v>88.89</v>
      </c>
      <c r="I40" s="38">
        <v>94.34</v>
      </c>
      <c r="J40" s="38">
        <v>77.88</v>
      </c>
      <c r="K40" s="39">
        <v>77.36</v>
      </c>
      <c r="L40" s="39">
        <v>81.25</v>
      </c>
      <c r="M40" s="45">
        <f t="shared" si="0"/>
        <v>82.575</v>
      </c>
    </row>
    <row r="41" ht="28" customHeight="1" spans="1:13">
      <c r="A41" s="47"/>
      <c r="B41" s="48" t="s">
        <v>41</v>
      </c>
      <c r="C41" s="49">
        <v>65.96</v>
      </c>
      <c r="D41" s="50">
        <v>92.31</v>
      </c>
      <c r="E41" s="48">
        <v>73.47</v>
      </c>
      <c r="F41" s="48">
        <v>90.24</v>
      </c>
      <c r="G41" s="50">
        <v>100</v>
      </c>
      <c r="H41" s="50">
        <v>96.3</v>
      </c>
      <c r="I41" s="50">
        <v>100</v>
      </c>
      <c r="J41" s="48">
        <v>88.89</v>
      </c>
      <c r="K41" s="50">
        <v>81.13</v>
      </c>
      <c r="L41" s="50">
        <v>91.67</v>
      </c>
      <c r="M41" s="53">
        <f t="shared" si="0"/>
        <v>87.997</v>
      </c>
    </row>
    <row r="42" ht="260" customHeight="1" spans="1:13">
      <c r="A42" s="51" t="s">
        <v>43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</row>
  </sheetData>
  <mergeCells count="6">
    <mergeCell ref="A1:M1"/>
    <mergeCell ref="A42:M42"/>
    <mergeCell ref="A3:A8"/>
    <mergeCell ref="A9:A13"/>
    <mergeCell ref="A14:A27"/>
    <mergeCell ref="A28:A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44</v>
      </c>
      <c r="B1" s="1"/>
      <c r="C1" s="1"/>
      <c r="D1" s="1"/>
      <c r="E1" s="1"/>
    </row>
    <row r="2" customHeight="1" spans="1:5">
      <c r="A2" s="1" t="s">
        <v>2</v>
      </c>
      <c r="B2" s="1" t="s">
        <v>45</v>
      </c>
      <c r="C2" s="1" t="s">
        <v>46</v>
      </c>
      <c r="D2" s="1" t="s">
        <v>47</v>
      </c>
      <c r="E2" s="1" t="s">
        <v>48</v>
      </c>
    </row>
    <row r="3" customHeight="1" spans="1:5">
      <c r="A3" s="2" t="s">
        <v>38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45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46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47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48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39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45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46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47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48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40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45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46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47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48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44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2</v>
      </c>
      <c r="B2" s="17" t="s">
        <v>49</v>
      </c>
      <c r="C2" s="17" t="s">
        <v>50</v>
      </c>
      <c r="D2" s="17" t="s">
        <v>51</v>
      </c>
      <c r="E2" s="17" t="s">
        <v>52</v>
      </c>
      <c r="F2" s="17" t="s">
        <v>53</v>
      </c>
      <c r="G2" s="17" t="s">
        <v>54</v>
      </c>
      <c r="H2" s="17" t="s">
        <v>55</v>
      </c>
      <c r="I2" s="17" t="s">
        <v>56</v>
      </c>
      <c r="J2" s="17" t="s">
        <v>57</v>
      </c>
      <c r="K2" s="17" t="s">
        <v>58</v>
      </c>
    </row>
    <row r="3" customHeight="1" spans="1:11">
      <c r="A3" s="18" t="s">
        <v>59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60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16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18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61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62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63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64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28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29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30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65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66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67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68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69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70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71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72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73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74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75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38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39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40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41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76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77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44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customHeight="1" spans="1:11">
      <c r="A2" s="1" t="s">
        <v>2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</row>
    <row r="3" customHeight="1" spans="1:11">
      <c r="A3" s="2" t="s">
        <v>38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39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40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5a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2026-05-04T14:50:00Z</dcterms:created>
  <dcterms:modified xsi:type="dcterms:W3CDTF">2026-06-24T07:23:39Z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